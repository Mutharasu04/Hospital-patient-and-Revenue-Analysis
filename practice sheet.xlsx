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Hospital and Analysis\Hospital-patient-and-Revenue-Analysis\"/>
    </mc:Choice>
  </mc:AlternateContent>
  <bookViews>
    <workbookView xWindow="0" yWindow="0" windowWidth="19200" windowHeight="6930" activeTab="3"/>
  </bookViews>
  <sheets>
    <sheet name="Sheet1" sheetId="1" r:id="rId1"/>
    <sheet name="Sheet3" sheetId="3" r:id="rId2"/>
    <sheet name="Sheet2" sheetId="2" r:id="rId3"/>
    <sheet name="Sheet4" sheetId="4" r:id="rId4"/>
    <sheet name="Sheet5" sheetId="5" r:id="rId5"/>
  </sheets>
  <definedNames>
    <definedName name="_xlnm._FilterDatabase" localSheetId="0" hidden="1">Sheet1!$A$1:$E$3</definedName>
    <definedName name="RATE">Sheet1!$J$6</definedName>
    <definedName name="SALES_MADE">Sheet1!$J$6:$J$6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5" l="1"/>
  <c r="C5" i="5"/>
  <c r="C6" i="5"/>
  <c r="C7" i="5"/>
  <c r="C8" i="5"/>
  <c r="C9" i="5"/>
  <c r="C10" i="5"/>
  <c r="C11" i="5"/>
  <c r="C12" i="5"/>
  <c r="C4" i="5"/>
  <c r="C3" i="5"/>
  <c r="C2" i="5"/>
  <c r="T2" i="4"/>
  <c r="T3" i="4"/>
  <c r="B3" i="5"/>
  <c r="B4" i="5"/>
  <c r="B5" i="5"/>
  <c r="B6" i="5"/>
  <c r="B7" i="5"/>
  <c r="B8" i="5"/>
  <c r="B9" i="5"/>
  <c r="B10" i="5"/>
  <c r="B11" i="5"/>
  <c r="B12" i="5"/>
  <c r="B2" i="5"/>
  <c r="S3" i="4"/>
  <c r="S4" i="4"/>
  <c r="S5" i="4"/>
  <c r="S6" i="4"/>
  <c r="S2" i="4"/>
  <c r="T4" i="4"/>
  <c r="T5" i="4"/>
  <c r="T6" i="4"/>
  <c r="BB3" i="4" l="1"/>
  <c r="BB5" i="4"/>
  <c r="BB6" i="4"/>
  <c r="BB4" i="4"/>
  <c r="BB2" i="4"/>
  <c r="BA3" i="4"/>
  <c r="BA5" i="4"/>
  <c r="BA6" i="4"/>
  <c r="BA4" i="4"/>
  <c r="BA2" i="4"/>
  <c r="AY3" i="4"/>
  <c r="AY5" i="4"/>
  <c r="AY6" i="4"/>
  <c r="AY4" i="4"/>
  <c r="AY2" i="4"/>
  <c r="AV8" i="4" s="1"/>
  <c r="AV11" i="4"/>
  <c r="AV10" i="4"/>
  <c r="AV9" i="4"/>
  <c r="AH3" i="4" l="1"/>
  <c r="AH4" i="4"/>
  <c r="AH5" i="4"/>
  <c r="AH6" i="4"/>
  <c r="AH2" i="4"/>
  <c r="AL2" i="4"/>
  <c r="AL3" i="4"/>
  <c r="AL4" i="4"/>
  <c r="AL5" i="4"/>
  <c r="AL6" i="4"/>
  <c r="AQ3" i="4"/>
  <c r="AQ4" i="4"/>
  <c r="AQ5" i="4"/>
  <c r="AQ6" i="4"/>
  <c r="AQ2" i="4"/>
  <c r="AD2" i="4"/>
  <c r="AD3" i="4"/>
  <c r="AD4" i="4"/>
  <c r="AD5" i="4"/>
  <c r="AD6" i="4"/>
  <c r="Y3" i="4"/>
  <c r="Y4" i="4"/>
  <c r="Y5" i="4"/>
  <c r="Y6" i="4"/>
  <c r="Y2" i="4"/>
  <c r="E3" i="4" l="1"/>
  <c r="E4" i="4"/>
  <c r="E5" i="4"/>
  <c r="E6" i="4"/>
  <c r="E2" i="4"/>
  <c r="D9" i="4"/>
  <c r="C9" i="4"/>
  <c r="B9" i="4"/>
  <c r="A9" i="4"/>
  <c r="X8" i="3" l="1"/>
  <c r="AC7" i="3"/>
  <c r="P17" i="3" l="1"/>
  <c r="Q17" i="3"/>
  <c r="R17" i="3"/>
  <c r="P16" i="3"/>
  <c r="Q16" i="3"/>
  <c r="R16" i="3"/>
  <c r="P15" i="3"/>
  <c r="Q15" i="3"/>
  <c r="R15" i="3"/>
  <c r="O15" i="3"/>
  <c r="O16" i="3"/>
  <c r="O17" i="3"/>
  <c r="P14" i="3"/>
  <c r="Q14" i="3"/>
  <c r="R14" i="3"/>
  <c r="O14" i="3"/>
  <c r="E6" i="3"/>
  <c r="D2" i="3"/>
  <c r="E2" i="3" s="1"/>
  <c r="D5" i="3"/>
  <c r="E5" i="3" s="1"/>
  <c r="D4" i="3"/>
  <c r="E4" i="3" s="1"/>
  <c r="D3" i="3"/>
  <c r="E3" i="3" s="1"/>
  <c r="I9" i="3"/>
  <c r="I10" i="3" l="1"/>
  <c r="AK6" i="1"/>
  <c r="AJ6" i="1"/>
  <c r="AH5" i="1"/>
  <c r="AG5" i="1"/>
  <c r="AE5" i="1"/>
  <c r="AD5" i="1"/>
  <c r="AD4" i="1"/>
  <c r="I11" i="3" l="1"/>
  <c r="E3" i="1"/>
  <c r="I12" i="3" l="1"/>
  <c r="I13" i="3" s="1"/>
</calcChain>
</file>

<file path=xl/sharedStrings.xml><?xml version="1.0" encoding="utf-8"?>
<sst xmlns="http://schemas.openxmlformats.org/spreadsheetml/2006/main" count="236" uniqueCount="168">
  <si>
    <t>Saturday</t>
  </si>
  <si>
    <t>Sunday</t>
  </si>
  <si>
    <t>Monday</t>
  </si>
  <si>
    <t>Tuesday</t>
  </si>
  <si>
    <t>Wednesday</t>
  </si>
  <si>
    <t>Name</t>
  </si>
  <si>
    <t>product</t>
  </si>
  <si>
    <t>Price</t>
  </si>
  <si>
    <t>Total</t>
  </si>
  <si>
    <t>Muthumari</t>
  </si>
  <si>
    <t>rice,colcate,brash</t>
  </si>
  <si>
    <t>Quantity</t>
  </si>
  <si>
    <t>Emp ID</t>
  </si>
  <si>
    <t>Full Name</t>
  </si>
  <si>
    <t>Email</t>
  </si>
  <si>
    <t>Phone</t>
  </si>
  <si>
    <t>Department</t>
  </si>
  <si>
    <t>Location</t>
  </si>
  <si>
    <t>Employee Code</t>
  </si>
  <si>
    <t>E001</t>
  </si>
  <si>
    <t>John Michael Smith</t>
  </si>
  <si>
    <t>john.smith@gmail.com</t>
  </si>
  <si>
    <t>987-654-3210</t>
  </si>
  <si>
    <t>Data Analytics</t>
  </si>
  <si>
    <t>Chennai</t>
  </si>
  <si>
    <t>DA-CHN-001</t>
  </si>
  <si>
    <t>E002</t>
  </si>
  <si>
    <t>PRIYA SHARMA</t>
  </si>
  <si>
    <t>priya.sharma@yahoo.com</t>
  </si>
  <si>
    <t>912-345-6780</t>
  </si>
  <si>
    <t>Data Engineering</t>
  </si>
  <si>
    <t>Hyderabad</t>
  </si>
  <si>
    <t>DE-HYD-002</t>
  </si>
  <si>
    <t>E003</t>
  </si>
  <si>
    <t>arun kumar raj</t>
  </si>
  <si>
    <t>arun.raj@gmail.com</t>
  </si>
  <si>
    <t>998-877-6655</t>
  </si>
  <si>
    <t>Data Science</t>
  </si>
  <si>
    <t>Bangalore</t>
  </si>
  <si>
    <t>DS-BLR-003</t>
  </si>
  <si>
    <t>E004</t>
  </si>
  <si>
    <t>Meena Joseph</t>
  </si>
  <si>
    <t>meena.joseph@outlook.com</t>
  </si>
  <si>
    <t>987-650-1234</t>
  </si>
  <si>
    <t>HR Analytics</t>
  </si>
  <si>
    <t>Mumbai</t>
  </si>
  <si>
    <t>HR-MUM-004</t>
  </si>
  <si>
    <t>E005</t>
  </si>
  <si>
    <t>RAHUL VERMA</t>
  </si>
  <si>
    <t>rahul.verma@gmail.com</t>
  </si>
  <si>
    <t>909-090-1234</t>
  </si>
  <si>
    <t>Business Analytics</t>
  </si>
  <si>
    <t>Delhi</t>
  </si>
  <si>
    <t>BA-DEL-005</t>
  </si>
  <si>
    <t>FIRST NAME</t>
  </si>
  <si>
    <t>LAST NAME</t>
  </si>
  <si>
    <t>FULL NAME</t>
  </si>
  <si>
    <t>IS BLANK</t>
  </si>
  <si>
    <t>MUTHARASU</t>
  </si>
  <si>
    <t>Product id</t>
  </si>
  <si>
    <t>Rate</t>
  </si>
  <si>
    <t>Qulality</t>
  </si>
  <si>
    <t>rate</t>
  </si>
  <si>
    <t>quantity</t>
  </si>
  <si>
    <t>amount</t>
  </si>
  <si>
    <t>salt</t>
  </si>
  <si>
    <t>rice</t>
  </si>
  <si>
    <t>milk</t>
  </si>
  <si>
    <t>powder</t>
  </si>
  <si>
    <t>sales tax</t>
  </si>
  <si>
    <t>Mix</t>
  </si>
  <si>
    <t>Mixed</t>
  </si>
  <si>
    <t>absolute</t>
  </si>
  <si>
    <t>LEADIND ZERO</t>
  </si>
  <si>
    <t>Employee</t>
  </si>
  <si>
    <t>Salary</t>
  </si>
  <si>
    <t>Sales</t>
  </si>
  <si>
    <t>Target</t>
  </si>
  <si>
    <t>Arun</t>
  </si>
  <si>
    <t>Bala</t>
  </si>
  <si>
    <t>Kumar</t>
  </si>
  <si>
    <t>Ravi</t>
  </si>
  <si>
    <t>Siva</t>
  </si>
  <si>
    <t>Total salary</t>
  </si>
  <si>
    <t>Average sales amount</t>
  </si>
  <si>
    <t>Minimum</t>
  </si>
  <si>
    <t>Maximum</t>
  </si>
  <si>
    <t>T&amp;S</t>
  </si>
  <si>
    <t>Bonuse</t>
  </si>
  <si>
    <t>Not eligible</t>
  </si>
  <si>
    <t>Salary result</t>
  </si>
  <si>
    <t>Standrand Salary</t>
  </si>
  <si>
    <t>Employee Name</t>
  </si>
  <si>
    <t>E101</t>
  </si>
  <si>
    <t>Arun Kumar</t>
  </si>
  <si>
    <t>E102</t>
  </si>
  <si>
    <t>Bala Raj</t>
  </si>
  <si>
    <t>E103</t>
  </si>
  <si>
    <t>Kumar Das</t>
  </si>
  <si>
    <t>E104</t>
  </si>
  <si>
    <t>Ravi Kumar</t>
  </si>
  <si>
    <t>E105</t>
  </si>
  <si>
    <t>Siva Raj</t>
  </si>
  <si>
    <t>First name</t>
  </si>
  <si>
    <t>Last name</t>
  </si>
  <si>
    <t>Answer</t>
  </si>
  <si>
    <t>Computer Science</t>
  </si>
  <si>
    <t>Mechanical</t>
  </si>
  <si>
    <t>Civil Engineering</t>
  </si>
  <si>
    <t>Electrical</t>
  </si>
  <si>
    <t>Information Technology</t>
  </si>
  <si>
    <t>Mutharasu</t>
  </si>
  <si>
    <t>Email Id</t>
  </si>
  <si>
    <t>Condition</t>
  </si>
  <si>
    <t>Muthu</t>
  </si>
  <si>
    <t>siva</t>
  </si>
  <si>
    <t>Madhu</t>
  </si>
  <si>
    <t>mutharasu@gmail.com</t>
  </si>
  <si>
    <t>sivaarasu@gmail.com</t>
  </si>
  <si>
    <t>madharasu@gmail.com</t>
  </si>
  <si>
    <t>balaarasu204@gmail.com</t>
  </si>
  <si>
    <t>kumaarasu07@gmail.com</t>
  </si>
  <si>
    <t>MUTHU</t>
  </si>
  <si>
    <t>EmployeName</t>
  </si>
  <si>
    <t>Arasu</t>
  </si>
  <si>
    <t>Ligam</t>
  </si>
  <si>
    <t>Krish</t>
  </si>
  <si>
    <t>Total salry EM</t>
  </si>
  <si>
    <t>Average AM EM</t>
  </si>
  <si>
    <t>MIN</t>
  </si>
  <si>
    <t>MAX</t>
  </si>
  <si>
    <t>TR&amp;SL</t>
  </si>
  <si>
    <t>Activate</t>
  </si>
  <si>
    <t>NO</t>
  </si>
  <si>
    <t>YES</t>
  </si>
  <si>
    <t xml:space="preserve">BNS </t>
  </si>
  <si>
    <t>HIGH SALRY</t>
  </si>
  <si>
    <t>abcd</t>
  </si>
  <si>
    <t>Raj</t>
  </si>
  <si>
    <t>NAME</t>
  </si>
  <si>
    <t>Bala kumaran</t>
  </si>
  <si>
    <t>Anbu arasan</t>
  </si>
  <si>
    <t>Raj kumar</t>
  </si>
  <si>
    <t>Hari prasath</t>
  </si>
  <si>
    <t>Hari pragash</t>
  </si>
  <si>
    <t>Jeya kumar</t>
  </si>
  <si>
    <t>Jaya sakthi</t>
  </si>
  <si>
    <t>Naveen kumar</t>
  </si>
  <si>
    <t>Sakthi vel</t>
  </si>
  <si>
    <t>Nandha kumar</t>
  </si>
  <si>
    <t>Naga rajan</t>
  </si>
  <si>
    <t>sakthi</t>
  </si>
  <si>
    <t>Sakthi</t>
  </si>
  <si>
    <t>arasan</t>
  </si>
  <si>
    <t>kumaran</t>
  </si>
  <si>
    <t>Anbu</t>
  </si>
  <si>
    <t>kumar</t>
  </si>
  <si>
    <t>Hari</t>
  </si>
  <si>
    <t>prasath</t>
  </si>
  <si>
    <t>pragash</t>
  </si>
  <si>
    <t>Jeya</t>
  </si>
  <si>
    <t>Jaya</t>
  </si>
  <si>
    <t>Naveen</t>
  </si>
  <si>
    <t>vel</t>
  </si>
  <si>
    <t>Nandha</t>
  </si>
  <si>
    <t>Naga</t>
  </si>
  <si>
    <t>rajan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</si>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</sst>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  <numFmt numFmtId="165" formatCode="00000"/>
    <numFmt numFmtId="166" formatCode="000\30"/>
    <numFmt numFmtId="167" formatCode="000\3\4"/>
    <numFmt numFmtId="168" formatCode="h:mm;@"/>
    <numFmt numFmtId="169" formatCode="#,##0_ ;\-#,##0\ "/>
    <numFmt numFmtId="170" formatCode="&quot;₹&quot;\ #,##0.00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CC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42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0" fillId="0" borderId="0" xfId="0" applyAlignment="1"/>
    <xf numFmtId="0" fontId="0" fillId="3" borderId="0" xfId="0" applyFill="1"/>
    <xf numFmtId="164" fontId="0" fillId="3" borderId="0" xfId="0" applyNumberFormat="1" applyFill="1"/>
    <xf numFmtId="164" fontId="0" fillId="0" borderId="0" xfId="0" applyNumberFormat="1"/>
    <xf numFmtId="10" fontId="0" fillId="0" borderId="0" xfId="2" applyNumberFormat="1" applyFont="1"/>
    <xf numFmtId="9" fontId="0" fillId="0" borderId="0" xfId="0" applyNumberFormat="1"/>
    <xf numFmtId="0" fontId="0" fillId="4" borderId="0" xfId="0" applyFill="1" applyAlignment="1">
      <alignment horizontal="center"/>
    </xf>
    <xf numFmtId="0" fontId="0" fillId="4" borderId="0" xfId="0" applyFill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3" fontId="0" fillId="0" borderId="0" xfId="0" applyNumberFormat="1"/>
    <xf numFmtId="169" fontId="0" fillId="0" borderId="0" xfId="0" applyNumberFormat="1"/>
    <xf numFmtId="44" fontId="0" fillId="0" borderId="0" xfId="0" applyNumberFormat="1"/>
    <xf numFmtId="170" fontId="0" fillId="0" borderId="0" xfId="0" applyNumberFormat="1"/>
    <xf numFmtId="10" fontId="0" fillId="0" borderId="0" xfId="0" applyNumberFormat="1"/>
    <xf numFmtId="16" fontId="0" fillId="0" borderId="0" xfId="0" applyNumberFormat="1"/>
    <xf numFmtId="12" fontId="0" fillId="0" borderId="0" xfId="0" applyNumberFormat="1"/>
    <xf numFmtId="0" fontId="2" fillId="5" borderId="0" xfId="0" applyFont="1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2" fillId="7" borderId="0" xfId="0" applyFont="1" applyFill="1" applyAlignment="1">
      <alignment horizontal="center" vertical="center" wrapText="1"/>
    </xf>
    <xf numFmtId="0" fontId="2" fillId="7" borderId="0" xfId="0" applyFont="1" applyFill="1"/>
    <xf numFmtId="0" fontId="0" fillId="8" borderId="0" xfId="0" applyFill="1" applyAlignment="1">
      <alignment vertical="center" wrapText="1"/>
    </xf>
    <xf numFmtId="0" fontId="0" fillId="8" borderId="0" xfId="0" applyFill="1"/>
    <xf numFmtId="0" fontId="2" fillId="9" borderId="0" xfId="0" applyFont="1" applyFill="1" applyAlignment="1">
      <alignment horizontal="center" vertical="center" wrapText="1"/>
    </xf>
    <xf numFmtId="0" fontId="0" fillId="10" borderId="0" xfId="0" applyFill="1" applyAlignment="1">
      <alignment vertical="center" wrapText="1"/>
    </xf>
    <xf numFmtId="0" fontId="0" fillId="10" borderId="0" xfId="0" applyFill="1" applyAlignment="1">
      <alignment horizontal="center" wrapText="1"/>
    </xf>
    <xf numFmtId="0" fontId="2" fillId="11" borderId="0" xfId="0" applyFont="1" applyFill="1" applyAlignment="1">
      <alignment horizontal="center" vertical="center" wrapText="1"/>
    </xf>
    <xf numFmtId="0" fontId="0" fillId="12" borderId="0" xfId="0" applyFill="1" applyAlignment="1">
      <alignment vertical="center" wrapText="1"/>
    </xf>
    <xf numFmtId="0" fontId="0" fillId="12" borderId="0" xfId="0" applyFill="1"/>
    <xf numFmtId="0" fontId="3" fillId="12" borderId="0" xfId="1" applyFill="1" applyAlignment="1">
      <alignment vertical="center" wrapText="1"/>
    </xf>
    <xf numFmtId="0" fontId="3" fillId="0" borderId="0" xfId="1" applyFill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64" formatCode="_ [$₹-4009]\ * #,##0.00_ ;_ [$₹-4009]\ * \-#,##0.00_ ;_ [$₹-4009]\ * &quot;-&quot;??_ ;_ @_ "/>
    </dxf>
    <dxf>
      <fill>
        <patternFill patternType="solid">
          <fgColor indexed="64"/>
          <bgColor theme="4" tint="0.59999389629810485"/>
        </patternFill>
      </fill>
    </dxf>
  </dxfs>
  <tableStyles count="0" defaultTableStyle="TableStyleMedium2" defaultPivotStyle="PivotStyleLight16"/>
  <colors>
    <mruColors>
      <color rgb="FFFF99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Table2" displayName="Table2" ref="A1:E6" totalsRowShown="0" headerRowDxfId="5">
  <autoFilter ref="A1:E6"/>
  <sortState ref="A2:D6">
    <sortCondition sortBy="icon" ref="B2:B6"/>
  </sortState>
  <tableColumns count="5">
    <tableColumn id="1" name="product"/>
    <tableColumn id="2" name="rate"/>
    <tableColumn id="3" name="quantity"/>
    <tableColumn id="4" name="amount" dataDxfId="4">
      <calculatedColumnFormula>Table2[[#This Row],[rate]]*Table2[[#This Row],[quantity]]</calculatedColumnFormula>
    </tableColumn>
    <tableColumn id="5" name="sales tax" dataDxfId="3">
      <calculatedColumnFormula>Table2[[#This Row],[amount]]*$G$4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un.raj@gmail.com" TargetMode="External"/><Relationship Id="rId2" Type="http://schemas.openxmlformats.org/officeDocument/2006/relationships/hyperlink" Target="mailto:priya.sharma@yahoo.com" TargetMode="External"/><Relationship Id="rId1" Type="http://schemas.openxmlformats.org/officeDocument/2006/relationships/hyperlink" Target="mailto:john.smith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rahul.verma@gmail.com" TargetMode="External"/><Relationship Id="rId4" Type="http://schemas.openxmlformats.org/officeDocument/2006/relationships/hyperlink" Target="mailto:meena.joseph@outlook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ivaarasu@gmail.com" TargetMode="External"/><Relationship Id="rId2" Type="http://schemas.openxmlformats.org/officeDocument/2006/relationships/hyperlink" Target="mailto:balaarasu204@gmail.com" TargetMode="External"/><Relationship Id="rId1" Type="http://schemas.openxmlformats.org/officeDocument/2006/relationships/hyperlink" Target="mailto:mutharasu@gmail.com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madharasu@gmail.com" TargetMode="External"/><Relationship Id="rId4" Type="http://schemas.openxmlformats.org/officeDocument/2006/relationships/hyperlink" Target="mailto:kumaarasu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Z10"/>
  <sheetViews>
    <sheetView topLeftCell="Q6" workbookViewId="0">
      <selection activeCell="J6" sqref="J6"/>
    </sheetView>
  </sheetViews>
  <sheetFormatPr defaultRowHeight="14.5" x14ac:dyDescent="0.35"/>
  <cols>
    <col min="1" max="1" width="10.26953125" bestFit="1" customWidth="1"/>
    <col min="2" max="2" width="15.36328125" bestFit="1" customWidth="1"/>
    <col min="7" max="7" width="10.6328125" bestFit="1" customWidth="1"/>
    <col min="8" max="8" width="10.08984375" bestFit="1" customWidth="1"/>
    <col min="10" max="10" width="11.26953125" bestFit="1" customWidth="1"/>
    <col min="30" max="30" width="17" customWidth="1"/>
    <col min="34" max="34" width="23" customWidth="1"/>
    <col min="51" max="51" width="11.7265625" style="7" bestFit="1" customWidth="1"/>
  </cols>
  <sheetData>
    <row r="1" spans="1:52" ht="29" x14ac:dyDescent="0.35">
      <c r="A1" s="2" t="s">
        <v>5</v>
      </c>
      <c r="B1" s="2" t="s">
        <v>6</v>
      </c>
      <c r="C1" s="2" t="s">
        <v>11</v>
      </c>
      <c r="D1" s="2" t="s">
        <v>7</v>
      </c>
      <c r="E1" s="2" t="s">
        <v>8</v>
      </c>
      <c r="U1" s="5" t="s">
        <v>12</v>
      </c>
      <c r="V1" s="5" t="s">
        <v>13</v>
      </c>
      <c r="W1" s="5" t="s">
        <v>14</v>
      </c>
      <c r="X1" s="5" t="s">
        <v>15</v>
      </c>
      <c r="Y1" s="5" t="s">
        <v>16</v>
      </c>
      <c r="Z1" s="5" t="s">
        <v>17</v>
      </c>
      <c r="AA1" s="5" t="s">
        <v>18</v>
      </c>
    </row>
    <row r="2" spans="1:52" ht="43.5" hidden="1" customHeight="1" x14ac:dyDescent="0.35">
      <c r="A2" t="s">
        <v>9</v>
      </c>
      <c r="B2" t="s">
        <v>10</v>
      </c>
      <c r="U2" s="4" t="s">
        <v>19</v>
      </c>
      <c r="V2" s="4" t="s">
        <v>20</v>
      </c>
      <c r="W2" s="6" t="s">
        <v>21</v>
      </c>
      <c r="X2" s="4" t="s">
        <v>22</v>
      </c>
      <c r="Y2" s="4" t="s">
        <v>23</v>
      </c>
      <c r="Z2" s="4" t="s">
        <v>24</v>
      </c>
      <c r="AA2" s="4" t="s">
        <v>25</v>
      </c>
      <c r="AY2" s="3"/>
    </row>
    <row r="3" spans="1:52" ht="43.5" hidden="1" customHeight="1" x14ac:dyDescent="0.35">
      <c r="A3" t="s">
        <v>9</v>
      </c>
      <c r="B3" t="s">
        <v>10</v>
      </c>
      <c r="C3" s="3">
        <v>3</v>
      </c>
      <c r="D3">
        <v>60</v>
      </c>
      <c r="E3">
        <f>C3*D3</f>
        <v>180</v>
      </c>
      <c r="U3" s="4" t="s">
        <v>26</v>
      </c>
      <c r="V3" s="4" t="s">
        <v>27</v>
      </c>
      <c r="W3" s="6" t="s">
        <v>28</v>
      </c>
      <c r="X3" s="4" t="s">
        <v>29</v>
      </c>
      <c r="Y3" s="4" t="s">
        <v>30</v>
      </c>
      <c r="Z3" s="4" t="s">
        <v>31</v>
      </c>
      <c r="AA3" s="4" t="s">
        <v>32</v>
      </c>
      <c r="AY3" s="3"/>
    </row>
    <row r="4" spans="1:52" ht="43.5" x14ac:dyDescent="0.35">
      <c r="U4" s="4" t="s">
        <v>33</v>
      </c>
      <c r="V4" s="4" t="s">
        <v>34</v>
      </c>
      <c r="W4" s="6" t="s">
        <v>35</v>
      </c>
      <c r="X4" s="4" t="s">
        <v>36</v>
      </c>
      <c r="Y4" s="4" t="s">
        <v>37</v>
      </c>
      <c r="Z4" s="4" t="s">
        <v>38</v>
      </c>
      <c r="AA4" s="4" t="s">
        <v>39</v>
      </c>
      <c r="AD4" t="str">
        <f>MID(AA4,4,3)</f>
        <v>BLR</v>
      </c>
      <c r="AY4" s="40" t="s">
        <v>58</v>
      </c>
      <c r="AZ4" s="40"/>
    </row>
    <row r="5" spans="1:52" ht="58" x14ac:dyDescent="0.35">
      <c r="U5" s="4" t="s">
        <v>40</v>
      </c>
      <c r="V5" s="4" t="s">
        <v>41</v>
      </c>
      <c r="W5" s="6" t="s">
        <v>42</v>
      </c>
      <c r="X5" s="4" t="s">
        <v>43</v>
      </c>
      <c r="Y5" s="4" t="s">
        <v>44</v>
      </c>
      <c r="Z5" s="4" t="s">
        <v>45</v>
      </c>
      <c r="AA5" s="4" t="s">
        <v>46</v>
      </c>
      <c r="AD5" t="e">
        <f>PROPER(#REF!)</f>
        <v>#REF!</v>
      </c>
      <c r="AE5" t="e">
        <f>SUBSTITUTE(Z5,"MUMBAI",SIVAKASI)</f>
        <v>#NAME?</v>
      </c>
      <c r="AG5" t="str">
        <f>SUBSTITUTE(Z5,"MUMBAI","THIRUTHANGAL")</f>
        <v>Mumbai</v>
      </c>
      <c r="AH5" t="str">
        <f>SUBSTITUTE(Z5,"Mumbai","Thiruthangal")</f>
        <v>Thiruthangal</v>
      </c>
    </row>
    <row r="6" spans="1:52" ht="43.5" x14ac:dyDescent="0.35">
      <c r="G6" t="s">
        <v>0</v>
      </c>
      <c r="H6" s="1">
        <v>46235</v>
      </c>
      <c r="J6">
        <v>56</v>
      </c>
      <c r="U6" s="4" t="s">
        <v>47</v>
      </c>
      <c r="V6" s="4" t="s">
        <v>48</v>
      </c>
      <c r="W6" s="6" t="s">
        <v>49</v>
      </c>
      <c r="X6" s="4" t="s">
        <v>50</v>
      </c>
      <c r="Y6" s="4" t="s">
        <v>51</v>
      </c>
      <c r="Z6" s="4" t="s">
        <v>52</v>
      </c>
      <c r="AA6" s="4" t="s">
        <v>53</v>
      </c>
      <c r="AD6" s="4" t="s">
        <v>54</v>
      </c>
      <c r="AE6" s="4" t="s">
        <v>55</v>
      </c>
      <c r="AF6" s="4" t="s">
        <v>56</v>
      </c>
      <c r="AI6" s="4" t="s">
        <v>57</v>
      </c>
      <c r="AJ6" t="b">
        <f>ISBLANK(AH6)</f>
        <v>1</v>
      </c>
      <c r="AK6" t="b">
        <f>ISBLANK(AF6)</f>
        <v>0</v>
      </c>
    </row>
    <row r="7" spans="1:52" x14ac:dyDescent="0.35">
      <c r="G7" t="s">
        <v>1</v>
      </c>
      <c r="H7" s="1">
        <v>46243</v>
      </c>
    </row>
    <row r="8" spans="1:52" x14ac:dyDescent="0.35">
      <c r="G8" t="s">
        <v>2</v>
      </c>
      <c r="H8" s="1">
        <v>46244</v>
      </c>
    </row>
    <row r="9" spans="1:52" x14ac:dyDescent="0.35">
      <c r="G9" t="s">
        <v>3</v>
      </c>
      <c r="H9" s="1">
        <v>46245</v>
      </c>
    </row>
    <row r="10" spans="1:52" x14ac:dyDescent="0.35">
      <c r="G10" t="s">
        <v>4</v>
      </c>
      <c r="H10" s="1">
        <v>46246</v>
      </c>
    </row>
  </sheetData>
  <autoFilter ref="A1:E3">
    <filterColumn colId="2">
      <filters>
        <filter val="Quality"/>
      </filters>
    </filterColumn>
    <sortState ref="A3:E3">
      <sortCondition ref="A1:A3"/>
    </sortState>
  </autoFilter>
  <mergeCells count="1">
    <mergeCell ref="AY4:AZ4"/>
  </mergeCells>
  <hyperlinks>
    <hyperlink ref="W2" r:id="rId1" tooltip="mailto:john.smith@gmail.com" display="mailto:john.smith@gmail.com"/>
    <hyperlink ref="W3" r:id="rId2" tooltip="mailto:priya.sharma@yahoo.com" display="mailto:priya.sharma@yahoo.com"/>
    <hyperlink ref="W4" r:id="rId3" tooltip="mailto:arun.raj@gmail.com" display="mailto:arun.raj@gmail.com"/>
    <hyperlink ref="W5" r:id="rId4" tooltip="mailto:meena.joseph@outlook.com" display="mailto:meena.joseph@outlook.com"/>
    <hyperlink ref="W6" r:id="rId5" tooltip="mailto:rahul.verma@gmail.com" display="mailto:rahul.verma@gmail.com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9"/>
  <sheetViews>
    <sheetView topLeftCell="M1" workbookViewId="0">
      <selection activeCell="W14" sqref="W14"/>
    </sheetView>
  </sheetViews>
  <sheetFormatPr defaultRowHeight="14.5" x14ac:dyDescent="0.35"/>
  <cols>
    <col min="1" max="1" width="9.36328125" customWidth="1"/>
    <col min="3" max="3" width="9.7265625" customWidth="1"/>
    <col min="4" max="4" width="9.36328125" customWidth="1"/>
    <col min="20" max="20" width="10.26953125" style="22" bestFit="1" customWidth="1"/>
    <col min="21" max="21" width="11.1796875" style="21" bestFit="1" customWidth="1"/>
  </cols>
  <sheetData>
    <row r="1" spans="1:29" x14ac:dyDescent="0.35">
      <c r="A1" s="8" t="s">
        <v>6</v>
      </c>
      <c r="B1" s="9" t="s">
        <v>62</v>
      </c>
      <c r="C1" s="8" t="s">
        <v>63</v>
      </c>
      <c r="D1" s="9" t="s">
        <v>64</v>
      </c>
      <c r="E1" s="8" t="s">
        <v>69</v>
      </c>
      <c r="T1" s="22">
        <v>87000</v>
      </c>
      <c r="U1" s="21">
        <v>80000</v>
      </c>
    </row>
    <row r="2" spans="1:29" x14ac:dyDescent="0.35">
      <c r="A2" t="s">
        <v>66</v>
      </c>
      <c r="B2" s="10">
        <v>80</v>
      </c>
      <c r="C2">
        <v>1</v>
      </c>
      <c r="D2" s="9">
        <f>Table2[[#This Row],[rate]]*Table2[[#This Row],[quantity]]</f>
        <v>80</v>
      </c>
      <c r="E2">
        <f>Table2[[#This Row],[amount]]*$G$4</f>
        <v>1.6</v>
      </c>
      <c r="G2" s="41" t="s">
        <v>72</v>
      </c>
      <c r="H2" s="41"/>
      <c r="T2" s="22">
        <v>9000</v>
      </c>
      <c r="U2" s="21">
        <v>9000</v>
      </c>
      <c r="W2" s="17"/>
    </row>
    <row r="3" spans="1:29" x14ac:dyDescent="0.35">
      <c r="A3" t="s">
        <v>68</v>
      </c>
      <c r="B3" s="10">
        <v>60</v>
      </c>
      <c r="C3">
        <v>5</v>
      </c>
      <c r="D3" s="9">
        <f>Table2[[#This Row],[rate]]*Table2[[#This Row],[quantity]]</f>
        <v>300</v>
      </c>
      <c r="E3">
        <f>Table2[[#This Row],[amount]]*$G$4</f>
        <v>6</v>
      </c>
      <c r="I3">
        <v>10</v>
      </c>
      <c r="T3" s="22">
        <v>9000</v>
      </c>
      <c r="U3" s="21">
        <v>9000</v>
      </c>
      <c r="W3" s="41" t="s">
        <v>73</v>
      </c>
      <c r="X3" s="41"/>
      <c r="Y3" s="41"/>
    </row>
    <row r="4" spans="1:29" x14ac:dyDescent="0.35">
      <c r="A4" t="s">
        <v>67</v>
      </c>
      <c r="B4" s="10">
        <v>40</v>
      </c>
      <c r="C4">
        <v>3</v>
      </c>
      <c r="D4" s="9">
        <f>Table2[[#This Row],[rate]]*Table2[[#This Row],[quantity]]</f>
        <v>120</v>
      </c>
      <c r="E4">
        <f>Table2[[#This Row],[amount]]*$G$4</f>
        <v>2.4</v>
      </c>
      <c r="G4" s="12">
        <v>0.02</v>
      </c>
      <c r="I4">
        <v>23</v>
      </c>
      <c r="W4" s="41"/>
      <c r="X4" s="41"/>
      <c r="Y4" s="41"/>
    </row>
    <row r="5" spans="1:29" x14ac:dyDescent="0.35">
      <c r="A5" t="s">
        <v>65</v>
      </c>
      <c r="B5" s="10">
        <v>15</v>
      </c>
      <c r="C5">
        <v>3</v>
      </c>
      <c r="D5" s="9">
        <f>Table2[[#This Row],[rate]]*Table2[[#This Row],[quantity]]</f>
        <v>45</v>
      </c>
      <c r="E5">
        <f>Table2[[#This Row],[amount]]*$G$4</f>
        <v>0.9</v>
      </c>
      <c r="I5">
        <v>23</v>
      </c>
      <c r="W5" s="41"/>
      <c r="X5" s="41"/>
      <c r="Y5" s="41"/>
    </row>
    <row r="6" spans="1:29" x14ac:dyDescent="0.35">
      <c r="D6" s="10"/>
      <c r="E6">
        <f>Table2[[#This Row],[amount]]*$G$4</f>
        <v>0</v>
      </c>
      <c r="I6">
        <v>233</v>
      </c>
      <c r="W6" s="41"/>
      <c r="X6" s="41"/>
      <c r="Y6" s="41"/>
    </row>
    <row r="7" spans="1:29" x14ac:dyDescent="0.35">
      <c r="I7">
        <v>44</v>
      </c>
      <c r="AC7" t="str">
        <f>TEXT(W4,"")</f>
        <v/>
      </c>
    </row>
    <row r="8" spans="1:29" x14ac:dyDescent="0.35">
      <c r="I8">
        <v>44</v>
      </c>
      <c r="W8">
        <v>25</v>
      </c>
      <c r="X8" t="str">
        <f>TEXT(W8,"00000")</f>
        <v>00025</v>
      </c>
    </row>
    <row r="9" spans="1:29" x14ac:dyDescent="0.35">
      <c r="E9" s="11"/>
      <c r="I9">
        <f>SUM(I3:I8)</f>
        <v>377</v>
      </c>
    </row>
    <row r="10" spans="1:29" x14ac:dyDescent="0.35">
      <c r="I10">
        <f>AVERAGE(I3:I9)</f>
        <v>107.71428571428571</v>
      </c>
      <c r="O10" s="41" t="s">
        <v>71</v>
      </c>
      <c r="P10" s="41"/>
      <c r="Q10" s="41"/>
      <c r="T10" s="23">
        <v>0.8</v>
      </c>
    </row>
    <row r="11" spans="1:29" x14ac:dyDescent="0.35">
      <c r="I11">
        <f>MIN(I3:I10)</f>
        <v>10</v>
      </c>
      <c r="V11" s="25">
        <v>0.75</v>
      </c>
    </row>
    <row r="12" spans="1:29" x14ac:dyDescent="0.35">
      <c r="I12">
        <f>MAX(I3:I11)</f>
        <v>377</v>
      </c>
      <c r="W12" s="19"/>
    </row>
    <row r="13" spans="1:29" x14ac:dyDescent="0.35">
      <c r="I13">
        <f>SUM(I12)</f>
        <v>377</v>
      </c>
      <c r="N13" s="13" t="s">
        <v>70</v>
      </c>
      <c r="O13" s="14">
        <v>2</v>
      </c>
      <c r="P13" s="14">
        <v>4</v>
      </c>
      <c r="Q13" s="14">
        <v>6</v>
      </c>
      <c r="R13" s="14">
        <v>8</v>
      </c>
      <c r="X13" s="25">
        <v>0.87</v>
      </c>
    </row>
    <row r="14" spans="1:29" x14ac:dyDescent="0.35">
      <c r="N14" s="14">
        <v>2</v>
      </c>
      <c r="O14">
        <f>$N14*O$13</f>
        <v>4</v>
      </c>
      <c r="P14">
        <f t="shared" ref="P14:R14" si="0">$N14*P$13</f>
        <v>8</v>
      </c>
      <c r="Q14">
        <f t="shared" si="0"/>
        <v>12</v>
      </c>
      <c r="R14">
        <f t="shared" si="0"/>
        <v>16</v>
      </c>
      <c r="V14" s="24"/>
      <c r="W14" s="20"/>
    </row>
    <row r="15" spans="1:29" x14ac:dyDescent="0.35">
      <c r="N15" s="14">
        <v>4</v>
      </c>
      <c r="O15">
        <f t="shared" ref="O15:R17" si="1">$N15*O$13</f>
        <v>8</v>
      </c>
      <c r="P15">
        <f t="shared" si="1"/>
        <v>16</v>
      </c>
      <c r="Q15">
        <f t="shared" si="1"/>
        <v>24</v>
      </c>
      <c r="R15">
        <f t="shared" si="1"/>
        <v>32</v>
      </c>
    </row>
    <row r="16" spans="1:29" x14ac:dyDescent="0.35">
      <c r="N16" s="14">
        <v>6</v>
      </c>
      <c r="O16">
        <f t="shared" si="1"/>
        <v>12</v>
      </c>
      <c r="P16">
        <f t="shared" si="1"/>
        <v>24</v>
      </c>
      <c r="Q16">
        <f t="shared" si="1"/>
        <v>36</v>
      </c>
      <c r="R16">
        <f t="shared" si="1"/>
        <v>48</v>
      </c>
      <c r="W16" s="16"/>
    </row>
    <row r="17" spans="14:22" x14ac:dyDescent="0.35">
      <c r="N17" s="14">
        <v>8</v>
      </c>
      <c r="O17">
        <f t="shared" si="1"/>
        <v>16</v>
      </c>
      <c r="P17">
        <f t="shared" si="1"/>
        <v>32</v>
      </c>
      <c r="Q17">
        <f t="shared" si="1"/>
        <v>48</v>
      </c>
      <c r="R17">
        <f t="shared" si="1"/>
        <v>64</v>
      </c>
      <c r="V17" s="15"/>
    </row>
    <row r="19" spans="14:22" x14ac:dyDescent="0.35">
      <c r="V19" s="18"/>
    </row>
  </sheetData>
  <mergeCells count="3">
    <mergeCell ref="W3:Y6"/>
    <mergeCell ref="O10:Q10"/>
    <mergeCell ref="G2:H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I2" sqref="I2"/>
    </sheetView>
  </sheetViews>
  <sheetFormatPr defaultRowHeight="14.5" x14ac:dyDescent="0.35"/>
  <cols>
    <col min="2" max="2" width="3.81640625" style="7" customWidth="1"/>
  </cols>
  <sheetData>
    <row r="1" spans="1:3" x14ac:dyDescent="0.35">
      <c r="A1" t="s">
        <v>59</v>
      </c>
      <c r="B1" s="7" t="s">
        <v>60</v>
      </c>
      <c r="C1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1"/>
  <sheetViews>
    <sheetView tabSelected="1" workbookViewId="0">
      <selection activeCell="AW2" sqref="AW2"/>
    </sheetView>
  </sheetViews>
  <sheetFormatPr defaultRowHeight="14.5" x14ac:dyDescent="0.35"/>
  <cols>
    <col min="5" max="5" width="16.453125" bestFit="1" customWidth="1"/>
    <col min="6" max="6" width="10.08984375" bestFit="1" customWidth="1"/>
    <col min="7" max="7" width="15" bestFit="1" customWidth="1"/>
    <col min="19" max="19" width="9.54296875" bestFit="1" customWidth="1"/>
    <col min="20" max="20" width="9.26953125" bestFit="1" customWidth="1"/>
    <col min="23" max="23" width="8" bestFit="1" customWidth="1"/>
    <col min="24" max="24" width="12.6328125" customWidth="1"/>
    <col min="25" max="25" width="13.1796875" customWidth="1"/>
    <col min="28" max="28" width="10.08984375" customWidth="1"/>
    <col min="29" max="29" width="11.26953125" customWidth="1"/>
    <col min="30" max="30" width="16.08984375" customWidth="1"/>
    <col min="34" max="34" width="10.1796875" customWidth="1"/>
    <col min="47" max="47" width="14.1796875" bestFit="1" customWidth="1"/>
    <col min="51" max="51" width="17.54296875" bestFit="1" customWidth="1"/>
    <col min="53" max="53" width="12" bestFit="1" customWidth="1"/>
    <col min="54" max="54" width="15.54296875" bestFit="1" customWidth="1"/>
  </cols>
  <sheetData>
    <row r="1" spans="1:56" ht="29" x14ac:dyDescent="0.35">
      <c r="A1" s="26" t="s">
        <v>74</v>
      </c>
      <c r="B1" s="26" t="s">
        <v>75</v>
      </c>
      <c r="C1" s="26" t="s">
        <v>76</v>
      </c>
      <c r="D1" s="26" t="s">
        <v>77</v>
      </c>
      <c r="E1" s="26" t="s">
        <v>87</v>
      </c>
      <c r="F1" s="26" t="s">
        <v>88</v>
      </c>
      <c r="G1" s="26" t="s">
        <v>90</v>
      </c>
      <c r="Q1" s="28" t="s">
        <v>12</v>
      </c>
      <c r="R1" s="28" t="s">
        <v>92</v>
      </c>
      <c r="S1" s="29" t="s">
        <v>103</v>
      </c>
      <c r="T1" s="29" t="s">
        <v>104</v>
      </c>
      <c r="W1" s="32" t="s">
        <v>74</v>
      </c>
      <c r="X1" s="32" t="s">
        <v>16</v>
      </c>
      <c r="Y1" s="32" t="s">
        <v>105</v>
      </c>
      <c r="AB1" s="35" t="s">
        <v>12</v>
      </c>
      <c r="AC1" s="35" t="s">
        <v>12</v>
      </c>
      <c r="AD1" s="35" t="s">
        <v>12</v>
      </c>
      <c r="AF1" s="35" t="s">
        <v>5</v>
      </c>
      <c r="AG1" s="35" t="s">
        <v>112</v>
      </c>
      <c r="AH1" s="35" t="s">
        <v>113</v>
      </c>
      <c r="AJ1" s="35" t="s">
        <v>5</v>
      </c>
      <c r="AK1" s="35" t="s">
        <v>75</v>
      </c>
      <c r="AL1" s="35" t="s">
        <v>113</v>
      </c>
      <c r="AO1" s="35" t="s">
        <v>5</v>
      </c>
      <c r="AP1" s="35" t="s">
        <v>75</v>
      </c>
      <c r="AQ1" s="35" t="s">
        <v>113</v>
      </c>
      <c r="AU1" s="37" t="s">
        <v>123</v>
      </c>
      <c r="AV1" s="37" t="s">
        <v>75</v>
      </c>
      <c r="AW1" s="37" t="s">
        <v>76</v>
      </c>
      <c r="AX1" s="37" t="s">
        <v>77</v>
      </c>
      <c r="AY1" s="37" t="s">
        <v>131</v>
      </c>
      <c r="AZ1" s="37" t="s">
        <v>132</v>
      </c>
      <c r="BA1" s="37" t="s">
        <v>135</v>
      </c>
      <c r="BB1" s="37" t="s">
        <v>136</v>
      </c>
    </row>
    <row r="2" spans="1:56" ht="43.5" x14ac:dyDescent="0.35">
      <c r="A2" s="27" t="s">
        <v>78</v>
      </c>
      <c r="B2" s="27">
        <v>25000</v>
      </c>
      <c r="C2" s="27">
        <v>45000</v>
      </c>
      <c r="D2" s="27">
        <v>50000</v>
      </c>
      <c r="E2" t="str">
        <f>IF(C2&gt;=D2,"Target Achived","Target not Achived")</f>
        <v>Target not Achived</v>
      </c>
      <c r="F2" t="s">
        <v>89</v>
      </c>
      <c r="G2" t="s">
        <v>91</v>
      </c>
      <c r="Q2" s="30" t="s">
        <v>93</v>
      </c>
      <c r="R2" s="30" t="s">
        <v>94</v>
      </c>
      <c r="S2" s="31" t="str">
        <f>LEFT(R2,FIND(" ",R2)-1)</f>
        <v>Arun</v>
      </c>
      <c r="T2" s="31" t="str">
        <f>RIGHT(R2,LEN(R2)-FIND(" ",R2))</f>
        <v>Kumar</v>
      </c>
      <c r="W2" s="33" t="s">
        <v>78</v>
      </c>
      <c r="X2" s="33" t="s">
        <v>106</v>
      </c>
      <c r="Y2" s="34" t="str">
        <f>UPPER(X2)</f>
        <v>COMPUTER SCIENCE</v>
      </c>
      <c r="AB2" s="36" t="s">
        <v>93</v>
      </c>
      <c r="AC2" s="36" t="s">
        <v>111</v>
      </c>
      <c r="AD2" s="36" t="str">
        <f>AB2&amp;"|"&amp;AC2</f>
        <v>E101|Mutharasu</v>
      </c>
      <c r="AF2" t="s">
        <v>114</v>
      </c>
      <c r="AG2" s="38" t="s">
        <v>117</v>
      </c>
      <c r="AH2" t="b">
        <f>ISTEXT(AG2)</f>
        <v>1</v>
      </c>
      <c r="AJ2" t="s">
        <v>114</v>
      </c>
      <c r="AK2">
        <v>25000</v>
      </c>
      <c r="AL2" t="b">
        <f>ISNUMBER(AK2)</f>
        <v>1</v>
      </c>
      <c r="AO2" t="s">
        <v>114</v>
      </c>
      <c r="AQ2" t="b">
        <f>ISBLANK(AP2)</f>
        <v>1</v>
      </c>
      <c r="AU2" t="s">
        <v>124</v>
      </c>
      <c r="AV2">
        <v>30000</v>
      </c>
      <c r="AW2">
        <v>45000</v>
      </c>
      <c r="AX2">
        <v>65000</v>
      </c>
      <c r="AY2" t="str">
        <f>IF(AW2&gt;=AX2,"Target Achieved","Target not Achieved")</f>
        <v>Target not Achieved</v>
      </c>
      <c r="AZ2" t="s">
        <v>133</v>
      </c>
      <c r="BA2" t="str">
        <f>IF(AW2&gt;=AX2,"BONUS","NOT ELIGIBLE")</f>
        <v>NOT ELIGIBLE</v>
      </c>
      <c r="BB2" t="str">
        <f>IF(AV2&gt;=50000,"HIGH SALRY","STANDRAD SALRY")</f>
        <v>STANDRAD SALRY</v>
      </c>
    </row>
    <row r="3" spans="1:56" ht="43.5" x14ac:dyDescent="0.35">
      <c r="A3" s="27" t="s">
        <v>79</v>
      </c>
      <c r="B3" s="27">
        <v>30000</v>
      </c>
      <c r="C3" s="27">
        <v>52000</v>
      </c>
      <c r="D3" s="27">
        <v>55000</v>
      </c>
      <c r="E3" t="str">
        <f t="shared" ref="E3:E6" si="0">IF(C3&gt;=D3,"Target Achived","Target not Achived")</f>
        <v>Target not Achived</v>
      </c>
      <c r="F3" t="s">
        <v>89</v>
      </c>
      <c r="G3" t="s">
        <v>91</v>
      </c>
      <c r="Q3" s="30" t="s">
        <v>95</v>
      </c>
      <c r="R3" s="30" t="s">
        <v>96</v>
      </c>
      <c r="S3" s="31" t="str">
        <f t="shared" ref="S3:S4" si="1">LEFT(R3,FIND(" ",R3)-1)</f>
        <v>Bala</v>
      </c>
      <c r="T3" s="31" t="str">
        <f>RIGHT(R3,LEN(R3)-FIND(" ",R3))</f>
        <v>Raj</v>
      </c>
      <c r="W3" s="33" t="s">
        <v>79</v>
      </c>
      <c r="X3" s="33" t="s">
        <v>107</v>
      </c>
      <c r="Y3" s="34" t="str">
        <f t="shared" ref="Y3:Y6" si="2">UPPER(X3)</f>
        <v>MECHANICAL</v>
      </c>
      <c r="AB3" s="36" t="s">
        <v>95</v>
      </c>
      <c r="AC3" s="36" t="s">
        <v>96</v>
      </c>
      <c r="AD3" s="37" t="str">
        <f t="shared" ref="AD3:AD6" si="3">AB3&amp;"|"&amp;AC3</f>
        <v>E102|Bala Raj</v>
      </c>
      <c r="AF3" t="s">
        <v>79</v>
      </c>
      <c r="AG3" s="39" t="s">
        <v>120</v>
      </c>
      <c r="AH3" t="b">
        <f t="shared" ref="AH3:AH6" si="4">ISTEXT(AG3)</f>
        <v>1</v>
      </c>
      <c r="AJ3" t="s">
        <v>79</v>
      </c>
      <c r="AK3">
        <v>45000</v>
      </c>
      <c r="AL3" t="b">
        <f>ISNUMBER(AK3)</f>
        <v>1</v>
      </c>
      <c r="AO3" t="s">
        <v>79</v>
      </c>
      <c r="AP3">
        <v>45000</v>
      </c>
      <c r="AQ3" t="b">
        <f t="shared" ref="AQ3:AQ6" si="5">ISBLANK(AP3)</f>
        <v>0</v>
      </c>
      <c r="AU3" t="s">
        <v>79</v>
      </c>
      <c r="AV3">
        <v>50000</v>
      </c>
      <c r="AW3">
        <v>65000</v>
      </c>
      <c r="AX3">
        <v>50000</v>
      </c>
      <c r="AY3" t="str">
        <f>IF(AW3&gt;=AX3,"Target Achieved","Target not Achieved")</f>
        <v>Target Achieved</v>
      </c>
      <c r="AZ3" t="s">
        <v>134</v>
      </c>
      <c r="BA3" t="str">
        <f>IF(AW3&gt;=AX3,"BONUS","NOT ELIGIBLE")</f>
        <v>BONUS</v>
      </c>
      <c r="BB3" t="str">
        <f>IF(AV3&gt;=50000,"HIGH SALRY","STANDRAD SALRY")</f>
        <v>HIGH SALRY</v>
      </c>
      <c r="BD3" t="s">
        <v>137</v>
      </c>
    </row>
    <row r="4" spans="1:56" ht="43.5" x14ac:dyDescent="0.35">
      <c r="A4" s="27" t="s">
        <v>80</v>
      </c>
      <c r="B4" s="27">
        <v>28000</v>
      </c>
      <c r="C4" s="27">
        <v>48000</v>
      </c>
      <c r="D4" s="27">
        <v>50000</v>
      </c>
      <c r="E4" t="str">
        <f t="shared" si="0"/>
        <v>Target not Achived</v>
      </c>
      <c r="F4" t="s">
        <v>89</v>
      </c>
      <c r="G4" t="s">
        <v>91</v>
      </c>
      <c r="Q4" s="30" t="s">
        <v>97</v>
      </c>
      <c r="R4" s="30" t="s">
        <v>98</v>
      </c>
      <c r="S4" s="31" t="str">
        <f t="shared" si="1"/>
        <v>Kumar</v>
      </c>
      <c r="T4" s="31" t="str">
        <f>RIGHT(R4,LEN(R4)-FIND(" ",R4))</f>
        <v>Das</v>
      </c>
      <c r="W4" s="33" t="s">
        <v>80</v>
      </c>
      <c r="X4" s="33" t="s">
        <v>108</v>
      </c>
      <c r="Y4" s="34" t="str">
        <f t="shared" si="2"/>
        <v>CIVIL ENGINEERING</v>
      </c>
      <c r="AB4" s="36" t="s">
        <v>97</v>
      </c>
      <c r="AC4" s="36" t="s">
        <v>98</v>
      </c>
      <c r="AD4" s="37" t="str">
        <f t="shared" si="3"/>
        <v>E103|Kumar Das</v>
      </c>
      <c r="AF4" t="s">
        <v>115</v>
      </c>
      <c r="AG4" s="39" t="s">
        <v>118</v>
      </c>
      <c r="AH4" t="b">
        <f t="shared" si="4"/>
        <v>1</v>
      </c>
      <c r="AJ4" t="s">
        <v>115</v>
      </c>
      <c r="AK4" t="s">
        <v>122</v>
      </c>
      <c r="AL4" t="b">
        <f t="shared" ref="AL4:AL6" si="6">ISNUMBER(AK4)</f>
        <v>0</v>
      </c>
      <c r="AO4" t="s">
        <v>115</v>
      </c>
      <c r="AQ4" t="b">
        <f t="shared" si="5"/>
        <v>1</v>
      </c>
      <c r="AU4" t="s">
        <v>126</v>
      </c>
      <c r="AV4">
        <v>65000</v>
      </c>
      <c r="AW4">
        <v>91000</v>
      </c>
      <c r="AX4">
        <v>90000</v>
      </c>
      <c r="AY4" t="str">
        <f>IF(AW4&gt;=AX4,"Target Achieved","Target not Achieved")</f>
        <v>Target Achieved</v>
      </c>
      <c r="AZ4" t="s">
        <v>134</v>
      </c>
      <c r="BA4" t="str">
        <f>IF(AW4&gt;=AX4,"BONUS","NOT ELIGIBLE")</f>
        <v>BONUS</v>
      </c>
      <c r="BB4" t="str">
        <f>IF(AV4&gt;=50000,"HIGH SALRY","STANDRAD SALRY")</f>
        <v>HIGH SALRY</v>
      </c>
    </row>
    <row r="5" spans="1:56" ht="43.5" x14ac:dyDescent="0.35">
      <c r="A5" s="27" t="s">
        <v>81</v>
      </c>
      <c r="B5" s="27">
        <v>35000</v>
      </c>
      <c r="C5" s="27">
        <v>60000</v>
      </c>
      <c r="D5" s="27">
        <v>65000</v>
      </c>
      <c r="E5" t="str">
        <f t="shared" si="0"/>
        <v>Target not Achived</v>
      </c>
      <c r="F5" t="s">
        <v>89</v>
      </c>
      <c r="G5" t="s">
        <v>91</v>
      </c>
      <c r="Q5" s="30" t="s">
        <v>99</v>
      </c>
      <c r="R5" s="30" t="s">
        <v>100</v>
      </c>
      <c r="S5" s="31" t="str">
        <f t="shared" ref="S5:S6" si="7">LEFT(R5,FIND(" ",R5)-1)</f>
        <v>Ravi</v>
      </c>
      <c r="T5" s="31" t="str">
        <f>RIGHT(R5,LEN(R5)-FIND(" ",R5))</f>
        <v>Kumar</v>
      </c>
      <c r="W5" s="33" t="s">
        <v>81</v>
      </c>
      <c r="X5" s="33" t="s">
        <v>109</v>
      </c>
      <c r="Y5" s="34" t="str">
        <f t="shared" si="2"/>
        <v>ELECTRICAL</v>
      </c>
      <c r="AB5" s="36" t="s">
        <v>99</v>
      </c>
      <c r="AC5" s="36" t="s">
        <v>100</v>
      </c>
      <c r="AD5" s="37" t="str">
        <f t="shared" si="3"/>
        <v>E104|Ravi Kumar</v>
      </c>
      <c r="AF5" t="s">
        <v>80</v>
      </c>
      <c r="AG5" s="39" t="s">
        <v>121</v>
      </c>
      <c r="AH5" t="b">
        <f t="shared" si="4"/>
        <v>1</v>
      </c>
      <c r="AJ5" t="s">
        <v>80</v>
      </c>
      <c r="AK5">
        <v>34000</v>
      </c>
      <c r="AL5" t="b">
        <f t="shared" si="6"/>
        <v>1</v>
      </c>
      <c r="AO5" t="s">
        <v>80</v>
      </c>
      <c r="AP5">
        <v>34000</v>
      </c>
      <c r="AQ5" t="b">
        <f t="shared" si="5"/>
        <v>0</v>
      </c>
      <c r="AU5" t="s">
        <v>80</v>
      </c>
      <c r="AV5">
        <v>45000</v>
      </c>
      <c r="AW5">
        <v>35000</v>
      </c>
      <c r="AX5">
        <v>45000</v>
      </c>
      <c r="AY5" t="str">
        <f>IF(AW5&gt;=AX5,"Target Achieved","Target not Achieved")</f>
        <v>Target not Achieved</v>
      </c>
      <c r="AZ5" t="s">
        <v>133</v>
      </c>
      <c r="BA5" t="str">
        <f>IF(AW5&gt;=AX5,"BONUS","NOT ELIGIBLE")</f>
        <v>NOT ELIGIBLE</v>
      </c>
      <c r="BB5" t="str">
        <f>IF(AV5&gt;=50000,"HIGH SALRY","STANDRAD SALRY")</f>
        <v>STANDRAD SALRY</v>
      </c>
    </row>
    <row r="6" spans="1:56" ht="43.5" x14ac:dyDescent="0.35">
      <c r="A6" s="27" t="s">
        <v>82</v>
      </c>
      <c r="B6" s="27">
        <v>22000</v>
      </c>
      <c r="C6" s="27">
        <v>40000</v>
      </c>
      <c r="D6" s="27">
        <v>45000</v>
      </c>
      <c r="E6" t="str">
        <f t="shared" si="0"/>
        <v>Target not Achived</v>
      </c>
      <c r="F6" t="s">
        <v>89</v>
      </c>
      <c r="G6" t="s">
        <v>91</v>
      </c>
      <c r="Q6" s="30" t="s">
        <v>101</v>
      </c>
      <c r="R6" s="30" t="s">
        <v>102</v>
      </c>
      <c r="S6" s="31" t="str">
        <f t="shared" si="7"/>
        <v>Siva</v>
      </c>
      <c r="T6" s="31" t="str">
        <f>RIGHT(R6,LEN(R6)-FIND(" ",R6))</f>
        <v>Raj</v>
      </c>
      <c r="W6" s="33" t="s">
        <v>82</v>
      </c>
      <c r="X6" s="33" t="s">
        <v>110</v>
      </c>
      <c r="Y6" s="34" t="str">
        <f t="shared" si="2"/>
        <v>INFORMATION TECHNOLOGY</v>
      </c>
      <c r="AB6" s="36" t="s">
        <v>101</v>
      </c>
      <c r="AC6" s="36" t="s">
        <v>102</v>
      </c>
      <c r="AD6" s="37" t="str">
        <f t="shared" si="3"/>
        <v>E105|Siva Raj</v>
      </c>
      <c r="AF6" t="s">
        <v>116</v>
      </c>
      <c r="AG6" s="39" t="s">
        <v>119</v>
      </c>
      <c r="AH6" t="b">
        <f t="shared" si="4"/>
        <v>1</v>
      </c>
      <c r="AJ6" t="s">
        <v>116</v>
      </c>
      <c r="AK6">
        <v>35000</v>
      </c>
      <c r="AL6" t="b">
        <f t="shared" si="6"/>
        <v>1</v>
      </c>
      <c r="AO6" t="s">
        <v>116</v>
      </c>
      <c r="AQ6" t="b">
        <f t="shared" si="5"/>
        <v>1</v>
      </c>
      <c r="AU6" t="s">
        <v>125</v>
      </c>
      <c r="AV6">
        <v>55000</v>
      </c>
      <c r="AW6">
        <v>75000</v>
      </c>
      <c r="AX6">
        <v>75000</v>
      </c>
      <c r="AY6" t="str">
        <f>IF(AW6&gt;=AX6,"Target Achieved","Target not Achieved")</f>
        <v>Target Achieved</v>
      </c>
      <c r="AZ6" t="s">
        <v>134</v>
      </c>
      <c r="BA6" t="str">
        <f>IF(AW6&gt;=AX6,"BONUS","NOT ELIGIBLE")</f>
        <v>BONUS</v>
      </c>
      <c r="BB6" t="str">
        <f>IF(AV6&gt;=50000,"HIGH SALRY","STANDRAD SALRY")</f>
        <v>HIGH SALRY</v>
      </c>
    </row>
    <row r="8" spans="1:56" ht="43.5" x14ac:dyDescent="0.35">
      <c r="A8" s="26" t="s">
        <v>83</v>
      </c>
      <c r="B8" s="26" t="s">
        <v>84</v>
      </c>
      <c r="C8" s="26" t="s">
        <v>85</v>
      </c>
      <c r="D8" s="26" t="s">
        <v>86</v>
      </c>
      <c r="AU8" t="s">
        <v>127</v>
      </c>
      <c r="AV8">
        <f>SUM(AV2:AV7)</f>
        <v>245000</v>
      </c>
    </row>
    <row r="9" spans="1:56" x14ac:dyDescent="0.35">
      <c r="A9">
        <f>SUM(D2:D6)</f>
        <v>265000</v>
      </c>
      <c r="B9">
        <f>AVERAGE(C2:C6)</f>
        <v>49000</v>
      </c>
      <c r="C9">
        <f>MIN(D2:D6)</f>
        <v>45000</v>
      </c>
      <c r="D9">
        <f>MAX(D2:D6)</f>
        <v>65000</v>
      </c>
      <c r="AU9" t="s">
        <v>128</v>
      </c>
      <c r="AV9">
        <f>AVERAGE(AV2:AV6)</f>
        <v>49000</v>
      </c>
    </row>
    <row r="10" spans="1:56" x14ac:dyDescent="0.35">
      <c r="AU10" t="s">
        <v>129</v>
      </c>
      <c r="AV10">
        <f>MIN(AX2:AX6)</f>
        <v>45000</v>
      </c>
    </row>
    <row r="11" spans="1:56" x14ac:dyDescent="0.35">
      <c r="AU11" t="s">
        <v>130</v>
      </c>
      <c r="AV11">
        <f>MAX(AX2:AX6)</f>
        <v>90000</v>
      </c>
    </row>
  </sheetData>
  <sortState ref="BD3">
    <sortCondition descending="1" ref="BD3"/>
  </sortState>
  <conditionalFormatting sqref="AW2:AW7">
    <cfRule type="top10" dxfId="2" priority="2" rank="1"/>
  </conditionalFormatting>
  <conditionalFormatting sqref="AV2:AV6">
    <cfRule type="top10" dxfId="0" priority="1" bottom="1" rank="1"/>
  </conditionalFormatting>
  <hyperlinks>
    <hyperlink ref="AG2" r:id="rId1"/>
    <hyperlink ref="AG3" r:id="rId2"/>
    <hyperlink ref="AG4" r:id="rId3"/>
    <hyperlink ref="AG5" r:id="rId4"/>
    <hyperlink ref="AG6" r:id="rId5"/>
  </hyperlinks>
  <pageMargins left="0.7" right="0.7" top="0.75" bottom="0.75" header="0.3" footer="0.3"/>
  <pageSetup orientation="portrait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H3" sqref="H3"/>
    </sheetView>
  </sheetViews>
  <sheetFormatPr defaultRowHeight="14.5" x14ac:dyDescent="0.35"/>
  <cols>
    <col min="1" max="1" width="13.26953125" bestFit="1" customWidth="1"/>
    <col min="2" max="2" width="10.90625" bestFit="1" customWidth="1"/>
    <col min="3" max="3" width="10.36328125" bestFit="1" customWidth="1"/>
    <col min="6" max="6" width="13.26953125" bestFit="1" customWidth="1"/>
    <col min="7" max="7" width="10.90625" bestFit="1" customWidth="1"/>
    <col min="8" max="8" width="12.26953125" bestFit="1" customWidth="1"/>
    <col min="10" max="10" width="13.26953125" bestFit="1" customWidth="1"/>
    <col min="11" max="11" width="10.90625" bestFit="1" customWidth="1"/>
    <col min="12" max="12" width="10.36328125" bestFit="1" customWidth="1"/>
  </cols>
  <sheetData>
    <row r="1" spans="1:9" x14ac:dyDescent="0.35">
      <c r="A1" t="s">
        <v>139</v>
      </c>
      <c r="B1" t="s">
        <v>54</v>
      </c>
      <c r="C1" t="s">
        <v>55</v>
      </c>
      <c r="F1" t="s">
        <v>139</v>
      </c>
      <c r="G1" t="s">
        <v>54</v>
      </c>
      <c r="H1" t="s">
        <v>55</v>
      </c>
    </row>
    <row r="2" spans="1:9" x14ac:dyDescent="0.35">
      <c r="A2" t="s">
        <v>140</v>
      </c>
      <c r="B2" t="str">
        <f>LEFT(A2,FIND(" ",A2)-1)</f>
        <v>Bala</v>
      </c>
      <c r="C2" t="str">
        <f>RIGHT(A2,LEN(A2)-FIND(" ",A2))</f>
        <v>kumaran</v>
      </c>
      <c r="F2" t="s">
        <v>79</v>
      </c>
      <c r="G2" t="s">
        <v>154</v>
      </c>
      <c r="H2" t="str">
        <f>CONCATENATE(F2," ",G2)</f>
        <v>Bala kumaran</v>
      </c>
    </row>
    <row r="3" spans="1:9" x14ac:dyDescent="0.35">
      <c r="A3" t="s">
        <v>141</v>
      </c>
      <c r="B3" t="str">
        <f t="shared" ref="B3:B12" si="0">LEFT(A3,FIND(" ",A3)-1)</f>
        <v>Anbu</v>
      </c>
      <c r="C3" t="str">
        <f>RIGHT(A3,LEN(A3)-FIND(" ",A3))</f>
        <v>arasan</v>
      </c>
      <c r="F3" t="s">
        <v>155</v>
      </c>
      <c r="G3" t="s">
        <v>153</v>
      </c>
      <c r="I3" t="s">
        <v>167</v>
      </c>
    </row>
    <row r="4" spans="1:9" x14ac:dyDescent="0.35">
      <c r="A4" t="s">
        <v>142</v>
      </c>
      <c r="B4" t="str">
        <f t="shared" si="0"/>
        <v>Raj</v>
      </c>
      <c r="C4" t="str">
        <f>RIGHT(A4,LEN(A4)-FIND(" ",A4))</f>
        <v>kumar</v>
      </c>
      <c r="F4" t="s">
        <v>138</v>
      </c>
      <c r="G4" t="s">
        <v>156</v>
      </c>
    </row>
    <row r="5" spans="1:9" x14ac:dyDescent="0.35">
      <c r="A5" t="s">
        <v>143</v>
      </c>
      <c r="B5" t="str">
        <f t="shared" si="0"/>
        <v>Hari</v>
      </c>
      <c r="C5" t="str">
        <f t="shared" ref="C5:C12" si="1">RIGHT(A5,LEN(A5)-FIND(" ",A5))</f>
        <v>prasath</v>
      </c>
      <c r="F5" t="s">
        <v>157</v>
      </c>
      <c r="G5" t="s">
        <v>158</v>
      </c>
    </row>
    <row r="6" spans="1:9" x14ac:dyDescent="0.35">
      <c r="A6" t="s">
        <v>144</v>
      </c>
      <c r="B6" t="str">
        <f t="shared" si="0"/>
        <v>Hari</v>
      </c>
      <c r="C6" t="str">
        <f t="shared" si="1"/>
        <v>pragash</v>
      </c>
      <c r="F6" t="s">
        <v>157</v>
      </c>
      <c r="G6" t="s">
        <v>159</v>
      </c>
    </row>
    <row r="7" spans="1:9" x14ac:dyDescent="0.35">
      <c r="A7" t="s">
        <v>145</v>
      </c>
      <c r="B7" t="str">
        <f t="shared" si="0"/>
        <v>Jeya</v>
      </c>
      <c r="C7" t="str">
        <f t="shared" si="1"/>
        <v>kumar</v>
      </c>
      <c r="F7" t="s">
        <v>160</v>
      </c>
      <c r="G7" t="s">
        <v>156</v>
      </c>
    </row>
    <row r="8" spans="1:9" x14ac:dyDescent="0.35">
      <c r="A8" t="s">
        <v>146</v>
      </c>
      <c r="B8" t="str">
        <f t="shared" si="0"/>
        <v>Jaya</v>
      </c>
      <c r="C8" t="str">
        <f t="shared" si="1"/>
        <v>sakthi</v>
      </c>
      <c r="F8" t="s">
        <v>161</v>
      </c>
      <c r="G8" t="s">
        <v>151</v>
      </c>
    </row>
    <row r="9" spans="1:9" x14ac:dyDescent="0.35">
      <c r="A9" t="s">
        <v>147</v>
      </c>
      <c r="B9" t="str">
        <f t="shared" si="0"/>
        <v>Naveen</v>
      </c>
      <c r="C9" t="str">
        <f t="shared" si="1"/>
        <v>kumar</v>
      </c>
      <c r="F9" t="s">
        <v>162</v>
      </c>
      <c r="G9" t="s">
        <v>156</v>
      </c>
    </row>
    <row r="10" spans="1:9" x14ac:dyDescent="0.35">
      <c r="A10" t="s">
        <v>148</v>
      </c>
      <c r="B10" t="str">
        <f t="shared" si="0"/>
        <v>Sakthi</v>
      </c>
      <c r="C10" t="str">
        <f t="shared" si="1"/>
        <v>vel</v>
      </c>
      <c r="F10" t="s">
        <v>152</v>
      </c>
      <c r="G10" t="s">
        <v>163</v>
      </c>
    </row>
    <row r="11" spans="1:9" x14ac:dyDescent="0.35">
      <c r="A11" t="s">
        <v>149</v>
      </c>
      <c r="B11" t="str">
        <f t="shared" si="0"/>
        <v>Nandha</v>
      </c>
      <c r="C11" t="str">
        <f t="shared" si="1"/>
        <v>kumar</v>
      </c>
      <c r="F11" t="s">
        <v>164</v>
      </c>
      <c r="G11" t="s">
        <v>156</v>
      </c>
    </row>
    <row r="12" spans="1:9" x14ac:dyDescent="0.35">
      <c r="A12" t="s">
        <v>150</v>
      </c>
      <c r="B12" t="str">
        <f t="shared" si="0"/>
        <v>Naga</v>
      </c>
      <c r="C12" t="str">
        <f t="shared" si="1"/>
        <v>rajan</v>
      </c>
      <c r="F12" t="s">
        <v>165</v>
      </c>
      <c r="G1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Sheet3</vt:lpstr>
      <vt:lpstr>Sheet2</vt:lpstr>
      <vt:lpstr>Sheet4</vt:lpstr>
      <vt:lpstr>Sheet5</vt:lpstr>
      <vt:lpstr>RATE</vt:lpstr>
      <vt:lpstr>SALES_MADE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2026-09-01T05:00:10Z</dcterms:created>
  <dcterms:modified xsi:type="dcterms:W3CDTF">2026-09-09T15:19:11Z</dcterms:modified>
</cp:coreProperties>
</file>